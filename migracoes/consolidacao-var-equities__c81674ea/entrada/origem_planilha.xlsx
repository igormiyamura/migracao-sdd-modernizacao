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Parametros" sheetId="2" state="visible" r:id="rId2"/>
    <sheet name="Calculo" sheetId="3" state="visible" r:id="rId3"/>
    <sheet name="Rel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Quantidade</t>
        </is>
      </c>
      <c r="C1" s="1" t="inlineStr">
        <is>
          <t>PrecoUnitario</t>
        </is>
      </c>
      <c r="D1" s="1" t="inlineStr">
        <is>
          <t>Volatilidade</t>
        </is>
      </c>
    </row>
    <row r="2">
      <c r="A2" t="inlineStr">
        <is>
          <t>PETR4</t>
        </is>
      </c>
      <c r="B2" t="n">
        <v>10000</v>
      </c>
      <c r="C2" t="n">
        <v>32.5</v>
      </c>
      <c r="D2" t="n">
        <v>0.025</v>
      </c>
    </row>
    <row r="3">
      <c r="A3" t="inlineStr">
        <is>
          <t>VALE3</t>
        </is>
      </c>
      <c r="B3" t="n">
        <v>8000</v>
      </c>
      <c r="C3" t="n">
        <v>68.2</v>
      </c>
      <c r="D3" t="n">
        <v>0.022</v>
      </c>
    </row>
    <row r="4">
      <c r="A4" t="inlineStr">
        <is>
          <t>ITUB4</t>
        </is>
      </c>
      <c r="B4" t="n">
        <v>15000</v>
      </c>
      <c r="C4" t="n">
        <v>28.1</v>
      </c>
      <c r="D4" t="n">
        <v>0.018</v>
      </c>
    </row>
    <row r="5">
      <c r="A5" t="inlineStr">
        <is>
          <t>BBDC4</t>
        </is>
      </c>
      <c r="B5" t="n">
        <v>12000</v>
      </c>
      <c r="C5" t="n">
        <v>14.75</v>
      </c>
      <c r="D5" t="n">
        <v>0.02</v>
      </c>
    </row>
    <row r="6">
      <c r="A6" t="inlineStr">
        <is>
          <t>WEGE3</t>
        </is>
      </c>
      <c r="B6" t="n">
        <v>6000</v>
      </c>
      <c r="C6" t="n">
        <v>41.3</v>
      </c>
      <c r="D6" t="n">
        <v>0.028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FatorConfianca</t>
        </is>
      </c>
      <c r="B2" t="n">
        <v>1.65</v>
      </c>
    </row>
    <row r="3">
      <c r="A3" t="inlineStr">
        <is>
          <t>LimiteVaR</t>
        </is>
      </c>
      <c r="B3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Exposicao</t>
        </is>
      </c>
      <c r="C1" s="1" t="inlineStr">
        <is>
          <t>VaRIndividual</t>
        </is>
      </c>
    </row>
    <row r="2">
      <c r="A2">
        <f>Carteira!A2</f>
        <v/>
      </c>
      <c r="B2">
        <f>Carteira!B2*Carteira!C2</f>
        <v/>
      </c>
      <c r="C2">
        <f>B2*Carteira!D2*Parametros!$B$2</f>
        <v/>
      </c>
    </row>
    <row r="3">
      <c r="A3">
        <f>Carteira!A3</f>
        <v/>
      </c>
      <c r="B3">
        <f>Carteira!B3*Carteira!C3</f>
        <v/>
      </c>
      <c r="C3">
        <f>B3*Carteira!D3*Parametros!$B$2</f>
        <v/>
      </c>
    </row>
    <row r="4">
      <c r="A4">
        <f>Carteira!A4</f>
        <v/>
      </c>
      <c r="B4">
        <f>Carteira!B4*Carteira!C4</f>
        <v/>
      </c>
      <c r="C4">
        <f>B4*Carteira!D4*Parametros!$B$2</f>
        <v/>
      </c>
    </row>
    <row r="5">
      <c r="A5">
        <f>Carteira!A5</f>
        <v/>
      </c>
      <c r="B5">
        <f>Carteira!B5*Carteira!C5</f>
        <v/>
      </c>
      <c r="C5">
        <f>B5*Carteira!D5*Parametros!$B$2</f>
        <v/>
      </c>
    </row>
    <row r="6">
      <c r="A6">
        <f>Carteira!A6</f>
        <v/>
      </c>
      <c r="B6">
        <f>Carteira!B6*Carteira!C6</f>
        <v/>
      </c>
      <c r="C6">
        <f>B6*Carteira!D6*Parametros!$B$2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Exposicao</t>
        </is>
      </c>
      <c r="C1" s="1" t="inlineStr">
        <is>
          <t>VaRIndividual</t>
        </is>
      </c>
      <c r="D1" s="1" t="inlineStr">
        <is>
          <t>VaRTotal</t>
        </is>
      </c>
      <c r="E1" s="1" t="inlineStr">
        <is>
          <t>LimiteVaR</t>
        </is>
      </c>
      <c r="F1" s="1" t="inlineStr">
        <is>
          <t>Status</t>
        </is>
      </c>
    </row>
    <row r="2">
      <c r="A2">
        <f>Calculo!A2</f>
        <v/>
      </c>
      <c r="B2">
        <f>Calculo!B2</f>
        <v/>
      </c>
      <c r="C2">
        <f>Calculo!C2</f>
        <v/>
      </c>
      <c r="D2">
        <f>SUM(Calculo!C2:C6)</f>
        <v/>
      </c>
      <c r="E2">
        <f>Parametros!$B$3</f>
        <v/>
      </c>
      <c r="F2">
        <f>IF(D2&gt;E2,"EXCEDIDO","OK")</f>
        <v/>
      </c>
    </row>
    <row r="3">
      <c r="A3">
        <f>Calculo!A3</f>
        <v/>
      </c>
      <c r="B3">
        <f>Calculo!B3</f>
        <v/>
      </c>
      <c r="C3">
        <f>Calculo!C3</f>
        <v/>
      </c>
      <c r="D3">
        <f>SUM(Calculo!C2:C6)</f>
        <v/>
      </c>
      <c r="E3">
        <f>Parametros!$B$3</f>
        <v/>
      </c>
      <c r="F3">
        <f>IF(D3&gt;E3,"EXCEDIDO","OK")</f>
        <v/>
      </c>
    </row>
    <row r="4">
      <c r="A4">
        <f>Calculo!A4</f>
        <v/>
      </c>
      <c r="B4">
        <f>Calculo!B4</f>
        <v/>
      </c>
      <c r="C4">
        <f>Calculo!C4</f>
        <v/>
      </c>
      <c r="D4">
        <f>SUM(Calculo!C2:C6)</f>
        <v/>
      </c>
      <c r="E4">
        <f>Parametros!$B$3</f>
        <v/>
      </c>
      <c r="F4">
        <f>IF(D4&gt;E4,"EXCEDIDO","OK")</f>
        <v/>
      </c>
    </row>
    <row r="5">
      <c r="A5">
        <f>Calculo!A5</f>
        <v/>
      </c>
      <c r="B5">
        <f>Calculo!B5</f>
        <v/>
      </c>
      <c r="C5">
        <f>Calculo!C5</f>
        <v/>
      </c>
      <c r="D5">
        <f>SUM(Calculo!C2:C6)</f>
        <v/>
      </c>
      <c r="E5">
        <f>Parametros!$B$3</f>
        <v/>
      </c>
      <c r="F5">
        <f>IF(D5&gt;E5,"EXCEDIDO","OK")</f>
        <v/>
      </c>
    </row>
    <row r="6">
      <c r="A6">
        <f>Calculo!A6</f>
        <v/>
      </c>
      <c r="B6">
        <f>Calculo!B6</f>
        <v/>
      </c>
      <c r="C6">
        <f>Calculo!C6</f>
        <v/>
      </c>
      <c r="D6">
        <f>SUM(Calculo!C2:C6)</f>
        <v/>
      </c>
      <c r="E6">
        <f>Parametros!$B$3</f>
        <v/>
      </c>
      <c r="F6">
        <f>IF(D6&gt;E6,"EXCEDIDO","OK")</f>
        <v/>
      </c>
    </row>
  </sheetData>
  <conditionalFormatting sqref="F2:F6">
    <cfRule type="cellIs" priority="1" operator="equal" dxfId="0">
      <formula>"EXCEDIDO"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2026-08-20T01:32:38Z</dcterms:created>
  <dcterms:modified xsi:type="dcterms:W3CDTF">2026-08-20T01:32:38Z</dcterms:modified>
</cp:coreProperties>
</file>